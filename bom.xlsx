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Frederick\Desktop\Technik-AG\Loetkit\"/>
    </mc:Choice>
  </mc:AlternateContent>
  <xr:revisionPtr revIDLastSave="0" documentId="13_ncr:1_{E89C481C-6F98-41DF-84FB-60770740F82B}" xr6:coauthVersionLast="47" xr6:coauthVersionMax="47" xr10:uidLastSave="{00000000-0000-0000-0000-000000000000}"/>
  <bookViews>
    <workbookView xWindow="-105" yWindow="0" windowWidth="19410" windowHeight="20985" xr2:uid="{3F37E646-29F4-40CD-A202-C4889976CB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" l="1"/>
  <c r="K21" i="1"/>
  <c r="J21" i="1"/>
  <c r="I21" i="1"/>
  <c r="K19" i="1"/>
  <c r="K18" i="1"/>
  <c r="K17" i="1"/>
  <c r="K16" i="1"/>
  <c r="K15" i="1"/>
  <c r="K14" i="1"/>
  <c r="K13" i="1"/>
  <c r="K11" i="1"/>
  <c r="K10" i="1"/>
  <c r="K8" i="1"/>
  <c r="K7" i="1"/>
  <c r="K6" i="1"/>
  <c r="K4" i="1"/>
  <c r="K3" i="1"/>
  <c r="K2" i="1"/>
  <c r="J2" i="1"/>
  <c r="J3" i="1"/>
  <c r="J4" i="1"/>
  <c r="J19" i="1"/>
  <c r="J18" i="1"/>
  <c r="J17" i="1"/>
  <c r="J16" i="1"/>
  <c r="J15" i="1"/>
  <c r="J14" i="1"/>
  <c r="J13" i="1"/>
  <c r="J11" i="1"/>
  <c r="J10" i="1"/>
  <c r="J8" i="1"/>
  <c r="J7" i="1"/>
  <c r="J6" i="1"/>
  <c r="I7" i="1"/>
  <c r="I8" i="1"/>
  <c r="I10" i="1"/>
  <c r="I11" i="1"/>
  <c r="I13" i="1"/>
  <c r="I14" i="1"/>
  <c r="I15" i="1"/>
  <c r="I16" i="1"/>
  <c r="I17" i="1"/>
  <c r="I18" i="1"/>
  <c r="I19" i="1"/>
  <c r="I2" i="1"/>
  <c r="I3" i="1"/>
  <c r="I4" i="1"/>
  <c r="I6" i="1"/>
</calcChain>
</file>

<file path=xl/sharedStrings.xml><?xml version="1.0" encoding="utf-8"?>
<sst xmlns="http://schemas.openxmlformats.org/spreadsheetml/2006/main" count="74" uniqueCount="58">
  <si>
    <t>Reference</t>
  </si>
  <si>
    <t>Beschreibung</t>
  </si>
  <si>
    <t>Wer Lötet?</t>
  </si>
  <si>
    <t>Link</t>
  </si>
  <si>
    <t>Kosten/stück</t>
  </si>
  <si>
    <t>Anzahl</t>
  </si>
  <si>
    <t>C4, C5, C6, C7, C8, C9, C10, C11, C12, C13, C14, C15</t>
  </si>
  <si>
    <t>Kondensator 100nF 1206</t>
  </si>
  <si>
    <t>Schüler</t>
  </si>
  <si>
    <t>https://www.lcsc.com/product-detail/C82601.html</t>
  </si>
  <si>
    <t>C2, C3</t>
  </si>
  <si>
    <t>Kondensator 22pF 1206</t>
  </si>
  <si>
    <t>https://www.lcsc.com/product-detail/C377027.html</t>
  </si>
  <si>
    <t>C1</t>
  </si>
  <si>
    <t>Kondensator 100nF 0805</t>
  </si>
  <si>
    <t>Freddy</t>
  </si>
  <si>
    <t>(Stock Freddy)</t>
  </si>
  <si>
    <t>C16</t>
  </si>
  <si>
    <t>Kondensator Elko THT 220uF 5.0x2.5</t>
  </si>
  <si>
    <t>D1, D2, D3, D4, D5, D6, D7, D8, D9</t>
  </si>
  <si>
    <t>RGB-LED WS2812</t>
  </si>
  <si>
    <t>https://www.lcsc.com/product-detail/C22461793.html?s_z=n_ws2812</t>
  </si>
  <si>
    <t>D10</t>
  </si>
  <si>
    <t>LED rot 1206</t>
  </si>
  <si>
    <t>https://www.lcsc.com/product-detail/C3646938.html</t>
  </si>
  <si>
    <t>U1</t>
  </si>
  <si>
    <t>Microcontroller CH32V003F4P6</t>
  </si>
  <si>
    <t>U2</t>
  </si>
  <si>
    <t>MAX485</t>
  </si>
  <si>
    <t>https://www.lcsc.com/product-detail/C42428254.html?s_z=n_max485</t>
  </si>
  <si>
    <t>U3</t>
  </si>
  <si>
    <t>FT232RL</t>
  </si>
  <si>
    <t>Y1</t>
  </si>
  <si>
    <t>Quartz 24MHz</t>
  </si>
  <si>
    <t>https://www.lcsc.com/product-detail/C7275046.html</t>
  </si>
  <si>
    <t>SW1</t>
  </si>
  <si>
    <t>Slide Switch DPDT</t>
  </si>
  <si>
    <t>https://www.lcsc.com/product-detail/C22435668.html?s_z=n_dpdt</t>
  </si>
  <si>
    <t>SW2</t>
  </si>
  <si>
    <t>DIP-Schalter 9P</t>
  </si>
  <si>
    <t>https://www.lcsc.com/product-detail/C3024975.html</t>
  </si>
  <si>
    <t>SW3</t>
  </si>
  <si>
    <t>Tactile Pushbutton</t>
  </si>
  <si>
    <t>https://www.lcsc.com/product-detail/C42416244.html</t>
  </si>
  <si>
    <t>J1</t>
  </si>
  <si>
    <t>USB B</t>
  </si>
  <si>
    <t>https://www.lcsc.com/product-detail/C2962393.html</t>
  </si>
  <si>
    <t>J2, J3</t>
  </si>
  <si>
    <t>JST-XH 3P</t>
  </si>
  <si>
    <t>https://www.lcsc.com/product-detail/C5160912.html</t>
  </si>
  <si>
    <t>MOQ</t>
  </si>
  <si>
    <t>Margin</t>
  </si>
  <si>
    <t>Anzahl Platinen:</t>
  </si>
  <si>
    <t>Anzahl benötigt insgesamt</t>
  </si>
  <si>
    <t>Anzahl (aufgerundet)</t>
  </si>
  <si>
    <t>Kosten</t>
  </si>
  <si>
    <t>Platinen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</si>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</sst>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3024975.html" TargetMode="External"/><Relationship Id="rId3" Type="http://schemas.openxmlformats.org/officeDocument/2006/relationships/hyperlink" Target="https://www.lcsc.com/product-detail/C7275046.html" TargetMode="External"/><Relationship Id="rId7" Type="http://schemas.openxmlformats.org/officeDocument/2006/relationships/hyperlink" Target="https://www.lcsc.com/product-detail/C22435668.html?s_z=n_dpdt" TargetMode="External"/><Relationship Id="rId2" Type="http://schemas.openxmlformats.org/officeDocument/2006/relationships/hyperlink" Target="https://www.lcsc.com/product-detail/C22461793.html?s_z=n_ws2812" TargetMode="External"/><Relationship Id="rId1" Type="http://schemas.openxmlformats.org/officeDocument/2006/relationships/hyperlink" Target="https://www.lcsc.com/product-detail/C82601.html" TargetMode="External"/><Relationship Id="rId6" Type="http://schemas.openxmlformats.org/officeDocument/2006/relationships/hyperlink" Target="https://www.lcsc.com/product-detail/C3646938.html" TargetMode="External"/><Relationship Id="rId11" Type="http://schemas.openxmlformats.org/officeDocument/2006/relationships/hyperlink" Target="https://www.lcsc.com/product-detail/C5160912.html" TargetMode="External"/><Relationship Id="rId5" Type="http://schemas.openxmlformats.org/officeDocument/2006/relationships/hyperlink" Target="https://www.lcsc.com/product-detail/C377027.html" TargetMode="External"/><Relationship Id="rId10" Type="http://schemas.openxmlformats.org/officeDocument/2006/relationships/hyperlink" Target="https://www.lcsc.com/product-detail/C2962393.html" TargetMode="External"/><Relationship Id="rId4" Type="http://schemas.openxmlformats.org/officeDocument/2006/relationships/hyperlink" Target="https://www.lcsc.com/product-detail/C42428254.html?s_z=n_max485" TargetMode="External"/><Relationship Id="rId9" Type="http://schemas.openxmlformats.org/officeDocument/2006/relationships/hyperlink" Target="https://www.lcsc.com/product-detail/C4241624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1B3C-3A2A-483C-858D-98BDF784E50E}">
  <dimension ref="A1:K25"/>
  <sheetViews>
    <sheetView tabSelected="1" workbookViewId="0">
      <selection activeCell="H23" sqref="B22:H23"/>
    </sheetView>
  </sheetViews>
  <sheetFormatPr defaultRowHeight="15" x14ac:dyDescent="0.25"/>
  <cols>
    <col min="1" max="1" width="10.85546875" customWidth="1"/>
    <col min="2" max="2" width="43.42578125" customWidth="1"/>
    <col min="3" max="3" width="11.140625" customWidth="1"/>
    <col min="4" max="4" width="14" customWidth="1"/>
    <col min="5" max="5" width="34.140625" customWidth="1"/>
    <col min="9" max="9" width="27.85546875" customWidth="1"/>
    <col min="10" max="10" width="27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50</v>
      </c>
      <c r="H1" s="1" t="s">
        <v>51</v>
      </c>
      <c r="I1" s="1" t="s">
        <v>53</v>
      </c>
      <c r="J1" s="1" t="s">
        <v>54</v>
      </c>
      <c r="K1" s="1" t="s">
        <v>55</v>
      </c>
    </row>
    <row r="2" spans="1:11" x14ac:dyDescent="0.25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1</v>
      </c>
      <c r="G2">
        <v>1</v>
      </c>
      <c r="H2">
        <v>0</v>
      </c>
      <c r="I2">
        <f>((F2+H2)*C23)</f>
        <v>15</v>
      </c>
      <c r="J2">
        <f>ROUNDUP(I2/G2, 0) * G2</f>
        <v>15</v>
      </c>
      <c r="K2">
        <f>J2*E2</f>
        <v>0</v>
      </c>
    </row>
    <row r="3" spans="1:11" x14ac:dyDescent="0.25">
      <c r="A3" t="s">
        <v>25</v>
      </c>
      <c r="B3" t="s">
        <v>26</v>
      </c>
      <c r="C3" t="s">
        <v>15</v>
      </c>
      <c r="D3" t="s">
        <v>16</v>
      </c>
      <c r="E3">
        <v>0.23</v>
      </c>
      <c r="F3">
        <v>1</v>
      </c>
      <c r="G3">
        <v>1</v>
      </c>
      <c r="H3">
        <v>0</v>
      </c>
      <c r="I3">
        <f>((F3+H3)*C23)</f>
        <v>15</v>
      </c>
      <c r="J3">
        <f>ROUNDUP(I3/G3, 0) * G3</f>
        <v>15</v>
      </c>
      <c r="K3">
        <f>J3*E3</f>
        <v>3.45</v>
      </c>
    </row>
    <row r="4" spans="1:11" x14ac:dyDescent="0.25">
      <c r="A4" t="s">
        <v>30</v>
      </c>
      <c r="B4" t="s">
        <v>31</v>
      </c>
      <c r="C4" t="s">
        <v>15</v>
      </c>
      <c r="D4" t="s">
        <v>16</v>
      </c>
      <c r="E4">
        <v>0</v>
      </c>
      <c r="F4">
        <v>1</v>
      </c>
      <c r="G4">
        <v>1</v>
      </c>
      <c r="H4">
        <v>0</v>
      </c>
      <c r="I4">
        <f>((F4+H4)*C23)</f>
        <v>15</v>
      </c>
      <c r="J4">
        <f>ROUNDUP(I4/G4, 0) * G4</f>
        <v>15</v>
      </c>
      <c r="K4">
        <f>J4*E4</f>
        <v>0</v>
      </c>
    </row>
    <row r="6" spans="1:11" x14ac:dyDescent="0.25">
      <c r="A6" t="s">
        <v>6</v>
      </c>
      <c r="B6" t="s">
        <v>7</v>
      </c>
      <c r="C6" t="s">
        <v>8</v>
      </c>
      <c r="D6" s="2" t="s">
        <v>9</v>
      </c>
      <c r="E6">
        <v>9.2999999999999992E-3</v>
      </c>
      <c r="F6">
        <v>12</v>
      </c>
      <c r="G6">
        <v>50</v>
      </c>
      <c r="H6">
        <v>4</v>
      </c>
      <c r="I6">
        <f>((F6+H6)*C23)</f>
        <v>240</v>
      </c>
      <c r="J6">
        <f>ROUNDUP(I6/G6, 0) * G6</f>
        <v>250</v>
      </c>
      <c r="K6">
        <f>J6*E6</f>
        <v>2.3249999999999997</v>
      </c>
    </row>
    <row r="7" spans="1:11" x14ac:dyDescent="0.25">
      <c r="A7" t="s">
        <v>27</v>
      </c>
      <c r="B7" t="s">
        <v>28</v>
      </c>
      <c r="C7" t="s">
        <v>8</v>
      </c>
      <c r="D7" s="2" t="s">
        <v>29</v>
      </c>
      <c r="E7">
        <v>9.0399999999999994E-2</v>
      </c>
      <c r="F7">
        <v>1</v>
      </c>
      <c r="G7">
        <v>5</v>
      </c>
      <c r="H7">
        <v>0</v>
      </c>
      <c r="I7">
        <f>((F7+H7)*C23)</f>
        <v>15</v>
      </c>
      <c r="J7">
        <f>ROUNDUP(I7/G7, 0) * G7</f>
        <v>15</v>
      </c>
      <c r="K7">
        <f>J7*E7</f>
        <v>1.3559999999999999</v>
      </c>
    </row>
    <row r="8" spans="1:11" x14ac:dyDescent="0.25">
      <c r="A8" t="s">
        <v>10</v>
      </c>
      <c r="B8" t="s">
        <v>11</v>
      </c>
      <c r="C8" t="s">
        <v>8</v>
      </c>
      <c r="D8" s="2" t="s">
        <v>12</v>
      </c>
      <c r="E8">
        <v>8.6999999999999994E-3</v>
      </c>
      <c r="F8">
        <v>2</v>
      </c>
      <c r="G8">
        <v>50</v>
      </c>
      <c r="H8">
        <v>1</v>
      </c>
      <c r="I8">
        <f>((F8+H8)*C23)</f>
        <v>45</v>
      </c>
      <c r="J8">
        <f>ROUNDUP(I8/G8, 0) * G8</f>
        <v>50</v>
      </c>
      <c r="K8">
        <f>J8*E8</f>
        <v>0.43499999999999994</v>
      </c>
    </row>
    <row r="10" spans="1:11" x14ac:dyDescent="0.25">
      <c r="A10" t="s">
        <v>22</v>
      </c>
      <c r="B10" t="s">
        <v>23</v>
      </c>
      <c r="C10" t="s">
        <v>8</v>
      </c>
      <c r="D10" s="2" t="s">
        <v>24</v>
      </c>
      <c r="E10">
        <v>1.0500000000000001E-2</v>
      </c>
      <c r="F10">
        <v>1</v>
      </c>
      <c r="G10">
        <v>50</v>
      </c>
      <c r="H10">
        <v>1</v>
      </c>
      <c r="I10">
        <f>((F10+H10)*C23)</f>
        <v>30</v>
      </c>
      <c r="J10">
        <f>ROUNDUP(I10/G10, 0) * G10</f>
        <v>50</v>
      </c>
      <c r="K10">
        <f>J10*E10</f>
        <v>0.52500000000000002</v>
      </c>
    </row>
    <row r="11" spans="1:11" x14ac:dyDescent="0.25">
      <c r="A11" t="s">
        <v>19</v>
      </c>
      <c r="B11" t="s">
        <v>20</v>
      </c>
      <c r="C11" t="s">
        <v>8</v>
      </c>
      <c r="D11" s="2" t="s">
        <v>21</v>
      </c>
      <c r="E11">
        <v>2.1100000000000001E-2</v>
      </c>
      <c r="F11">
        <v>9</v>
      </c>
      <c r="G11">
        <v>20</v>
      </c>
      <c r="H11">
        <v>0</v>
      </c>
      <c r="I11">
        <f>((F11+H11)*C23)</f>
        <v>135</v>
      </c>
      <c r="J11">
        <f>ROUNDUP(I11/G11, 0) * G11</f>
        <v>140</v>
      </c>
      <c r="K11">
        <f>J11*E11</f>
        <v>2.9540000000000002</v>
      </c>
    </row>
    <row r="13" spans="1:11" x14ac:dyDescent="0.25">
      <c r="A13" t="s">
        <v>32</v>
      </c>
      <c r="B13" t="s">
        <v>33</v>
      </c>
      <c r="C13" t="s">
        <v>8</v>
      </c>
      <c r="D13" s="2" t="s">
        <v>34</v>
      </c>
      <c r="E13">
        <v>4.6100000000000002E-2</v>
      </c>
      <c r="F13">
        <v>1</v>
      </c>
      <c r="G13">
        <v>10</v>
      </c>
      <c r="H13">
        <v>0</v>
      </c>
      <c r="I13">
        <f>((F13+H13)*C23)</f>
        <v>15</v>
      </c>
      <c r="J13">
        <f>ROUNDUP(I13/G13, 0) * G13</f>
        <v>20</v>
      </c>
      <c r="K13">
        <f>J13*E13</f>
        <v>0.92200000000000004</v>
      </c>
    </row>
    <row r="14" spans="1:11" x14ac:dyDescent="0.25">
      <c r="A14" t="s">
        <v>17</v>
      </c>
      <c r="B14" t="s">
        <v>18</v>
      </c>
      <c r="C14" t="s">
        <v>8</v>
      </c>
      <c r="D14" t="s">
        <v>16</v>
      </c>
      <c r="E14">
        <v>0</v>
      </c>
      <c r="F14">
        <v>1</v>
      </c>
      <c r="G14">
        <v>1</v>
      </c>
      <c r="H14">
        <v>0</v>
      </c>
      <c r="I14">
        <f>((F14+H14)*C23)</f>
        <v>15</v>
      </c>
      <c r="J14">
        <f>ROUNDUP(I14/G14, 0) * G14</f>
        <v>15</v>
      </c>
      <c r="K14">
        <f>J14*E14</f>
        <v>0</v>
      </c>
    </row>
    <row r="15" spans="1:11" x14ac:dyDescent="0.25">
      <c r="A15" t="s">
        <v>35</v>
      </c>
      <c r="B15" t="s">
        <v>36</v>
      </c>
      <c r="C15" t="s">
        <v>8</v>
      </c>
      <c r="D15" s="2" t="s">
        <v>37</v>
      </c>
      <c r="E15">
        <v>3.7199999999999997E-2</v>
      </c>
      <c r="F15">
        <v>1</v>
      </c>
      <c r="G15">
        <v>10</v>
      </c>
      <c r="H15">
        <v>0</v>
      </c>
      <c r="I15">
        <f>((F15+H15)*C23)</f>
        <v>15</v>
      </c>
      <c r="J15">
        <f>ROUNDUP(I15/G15, 0) * G15</f>
        <v>20</v>
      </c>
      <c r="K15">
        <f>J15*E15</f>
        <v>0.74399999999999999</v>
      </c>
    </row>
    <row r="16" spans="1:11" x14ac:dyDescent="0.25">
      <c r="A16" t="s">
        <v>38</v>
      </c>
      <c r="B16" t="s">
        <v>39</v>
      </c>
      <c r="C16" t="s">
        <v>8</v>
      </c>
      <c r="D16" s="2" t="s">
        <v>40</v>
      </c>
      <c r="E16">
        <v>0.27510000000000001</v>
      </c>
      <c r="F16">
        <v>1</v>
      </c>
      <c r="G16">
        <v>19</v>
      </c>
      <c r="H16">
        <v>0</v>
      </c>
      <c r="I16">
        <f>((F16+H16)*C23)</f>
        <v>15</v>
      </c>
      <c r="J16">
        <f>ROUNDUP(I16/G16, 0) * G16</f>
        <v>19</v>
      </c>
      <c r="K16">
        <f>J16*E16</f>
        <v>5.2269000000000005</v>
      </c>
    </row>
    <row r="17" spans="1:11" x14ac:dyDescent="0.25">
      <c r="A17" t="s">
        <v>41</v>
      </c>
      <c r="B17" t="s">
        <v>42</v>
      </c>
      <c r="C17" t="s">
        <v>8</v>
      </c>
      <c r="D17" s="2" t="s">
        <v>43</v>
      </c>
      <c r="E17">
        <v>1.49E-2</v>
      </c>
      <c r="F17">
        <v>1</v>
      </c>
      <c r="G17">
        <v>50</v>
      </c>
      <c r="H17">
        <v>0</v>
      </c>
      <c r="I17">
        <f>((F17+H17)*C23)</f>
        <v>15</v>
      </c>
      <c r="J17">
        <f>ROUNDUP(I17/G17, 0) * G17</f>
        <v>50</v>
      </c>
      <c r="K17">
        <f>J17*E17</f>
        <v>0.745</v>
      </c>
    </row>
    <row r="18" spans="1:11" x14ac:dyDescent="0.25">
      <c r="A18" t="s">
        <v>44</v>
      </c>
      <c r="B18" t="s">
        <v>45</v>
      </c>
      <c r="C18" t="s">
        <v>8</v>
      </c>
      <c r="D18" s="2" t="s">
        <v>46</v>
      </c>
      <c r="E18">
        <v>8.6099999999999996E-2</v>
      </c>
      <c r="F18">
        <v>1</v>
      </c>
      <c r="G18">
        <v>5</v>
      </c>
      <c r="H18">
        <v>0</v>
      </c>
      <c r="I18">
        <f>((F18+H18)*C23)</f>
        <v>15</v>
      </c>
      <c r="J18">
        <f>ROUNDUP(I18/G18, 0) * G18</f>
        <v>15</v>
      </c>
      <c r="K18">
        <f>J18*E18</f>
        <v>1.2914999999999999</v>
      </c>
    </row>
    <row r="19" spans="1:11" x14ac:dyDescent="0.25">
      <c r="A19" t="s">
        <v>47</v>
      </c>
      <c r="B19" t="s">
        <v>48</v>
      </c>
      <c r="C19" t="s">
        <v>8</v>
      </c>
      <c r="D19" s="2" t="s">
        <v>49</v>
      </c>
      <c r="E19">
        <v>8.3000000000000001E-3</v>
      </c>
      <c r="F19">
        <v>2</v>
      </c>
      <c r="G19">
        <v>50</v>
      </c>
      <c r="H19">
        <v>0</v>
      </c>
      <c r="I19">
        <f>((F19+H19)*C23)</f>
        <v>30</v>
      </c>
      <c r="J19">
        <f>ROUNDUP(I19/G19, 0) * G19</f>
        <v>50</v>
      </c>
      <c r="K19">
        <f>J19*E19</f>
        <v>0.41499999999999998</v>
      </c>
    </row>
    <row r="21" spans="1:11" x14ac:dyDescent="0.25">
      <c r="B21" t="s">
        <v>56</v>
      </c>
      <c r="C21" t="s">
        <v>57</v>
      </c>
      <c r="E21">
        <v>0.39</v>
      </c>
      <c r="F21">
        <v>1</v>
      </c>
      <c r="G21">
        <v>20</v>
      </c>
      <c r="H21">
        <v>0</v>
      </c>
      <c r="I21">
        <f>((F21+H21)*C23)</f>
        <v>15</v>
      </c>
      <c r="J21">
        <f>ROUNDUP(I21/G21, 0) * G21</f>
        <v>20</v>
      </c>
      <c r="K21">
        <f>J21*E21</f>
        <v>7.8000000000000007</v>
      </c>
    </row>
    <row r="23" spans="1:11" x14ac:dyDescent="0.25">
      <c r="A23" t="s">
        <v>52</v>
      </c>
      <c r="C23">
        <v>15</v>
      </c>
    </row>
    <row r="25" spans="1:11" x14ac:dyDescent="0.25">
      <c r="K25">
        <f>SUM(K2:K21)</f>
        <v>28.189399999999999</v>
      </c>
    </row>
  </sheetData>
  <hyperlinks>
    <hyperlink ref="D6" r:id="rId1" xr:uid="{6AA8DF6D-FBAC-48E7-8AEE-74382A6C86E7}"/>
    <hyperlink ref="D11" r:id="rId2" xr:uid="{9D1F699F-FFD6-4183-8F21-3901DFCD9E2B}"/>
    <hyperlink ref="D13" r:id="rId3" xr:uid="{2CAA1F96-6095-4715-B27E-5C0DB1D12416}"/>
    <hyperlink ref="D7" r:id="rId4" xr:uid="{9B588E61-1007-4DE8-B8F5-CDF70E9437A7}"/>
    <hyperlink ref="D8" r:id="rId5" xr:uid="{F823BB0B-8701-4C55-8204-29913DD63FB6}"/>
    <hyperlink ref="D10" r:id="rId6" xr:uid="{227DB07D-7210-46BB-88B9-51FC3C3E2740}"/>
    <hyperlink ref="D15" r:id="rId7" xr:uid="{3D46BBF0-F3CF-4B3C-A000-CC68853F1857}"/>
    <hyperlink ref="D16" r:id="rId8" xr:uid="{4CE41C02-173C-48F3-BBA3-F9B73BE80EE6}"/>
    <hyperlink ref="D17" r:id="rId9" xr:uid="{F8C76A0C-3162-47E4-8A65-D850D61E6A05}"/>
    <hyperlink ref="D18" r:id="rId10" xr:uid="{D5924508-7423-4109-B9CF-884BCABB252B}"/>
    <hyperlink ref="D19" r:id="rId11" xr:uid="{88237C0C-143E-4D1A-AE8A-AEA8950818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Schreiber</dc:creator>
  <cp:lastModifiedBy>Freddy Schreiber</cp:lastModifiedBy>
  <dcterms:created xsi:type="dcterms:W3CDTF">2025-10-24T19:03:27Z</dcterms:created>
  <dcterms:modified xsi:type="dcterms:W3CDTF">2025-10-24T19:39:56Z</dcterms:modified>
</cp:coreProperties>
</file>